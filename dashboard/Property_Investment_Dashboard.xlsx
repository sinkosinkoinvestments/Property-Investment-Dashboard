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or Sale" sheetId="2" state="visible" r:id="rId2"/>
    <sheet xmlns:r="http://schemas.openxmlformats.org/officeDocument/2006/relationships" name="Sold Comparables" sheetId="3" state="visible" r:id="rId3"/>
    <sheet xmlns:r="http://schemas.openxmlformats.org/officeDocument/2006/relationships" name="Market Overview" sheetId="4" state="visible" r:id="rId4"/>
    <sheet xmlns:r="http://schemas.openxmlformats.org/officeDocument/2006/relationships" name="Off-Market Leads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color rgb="000563C1"/>
      <sz val="10"/>
      <u val="single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1F4E79"/>
      <sz val="14"/>
    </font>
    <font>
      <name val="Calibri"/>
      <b val="1"/>
      <color rgb="007F0000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0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L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4" customWidth="1" min="6" max="6"/>
    <col width="18" customWidth="1" min="7" max="7"/>
    <col width="18" customWidth="1" min="8" max="8"/>
    <col width="18" customWidth="1" min="9" max="9"/>
    <col width="18" customWidth="1" min="10" max="10"/>
    <col width="4" customWidth="1" min="11" max="11"/>
    <col width="18" customWidth="1" min="12" max="12"/>
  </cols>
  <sheetData>
    <row r="1" ht="8" customHeight="1"/>
    <row r="2" ht="40" customHeight="1">
      <c r="B2" s="1" t="inlineStr">
        <is>
          <t>🏡  Property Investment Dashboard — Sunshine Coast Hinterland</t>
        </is>
      </c>
    </row>
    <row r="3" ht="20" customHeight="1">
      <c r="B3" s="2" t="inlineStr">
        <is>
          <t>Suburbs: Cooroy · Black Mountain · Tinbeerwah · Yandina · Mapleton  |  Last Refreshed: 27 Jun 2026</t>
        </is>
      </c>
    </row>
    <row r="5" ht="20" customHeight="1">
      <c r="B5" s="3" t="inlineStr">
        <is>
          <t>→ For Sale</t>
        </is>
      </c>
      <c r="D5" s="3" t="inlineStr">
        <is>
          <t>→ Sold Comparables</t>
        </is>
      </c>
      <c r="F5" s="3" t="inlineStr">
        <is>
          <t>→ Market Overview</t>
        </is>
      </c>
      <c r="H5" s="3" t="inlineStr">
        <is>
          <t>→ Off-Market Leads</t>
        </is>
      </c>
      <c r="J5" s="3" t="inlineStr">
        <is>
          <t>→ Instructions</t>
        </is>
      </c>
    </row>
    <row r="7" ht="22" customHeight="1">
      <c r="B7" s="4" t="inlineStr">
        <is>
          <t>KEY METRICS — Auto-calculated from live data</t>
        </is>
      </c>
    </row>
    <row r="9" ht="18" customHeight="1">
      <c r="B9" s="5" t="inlineStr">
        <is>
          <t>Total For Sale</t>
        </is>
      </c>
      <c r="C9" s="5" t="inlineStr">
        <is>
          <t>Avg Asking Price</t>
        </is>
      </c>
      <c r="D9" s="5" t="inlineStr">
        <is>
          <t>Avg Gross Yield</t>
        </is>
      </c>
      <c r="E9" s="5" t="inlineStr">
        <is>
          <t>Avg Net Cashflow/wk</t>
        </is>
      </c>
      <c r="G9" s="5" t="inlineStr">
        <is>
          <t>Positive CF Count</t>
        </is>
      </c>
      <c r="H9" s="5" t="inlineStr">
        <is>
          <t>Total Sold Records</t>
        </is>
      </c>
      <c r="I9" s="5" t="inlineStr">
        <is>
          <t>Avg Sale Price</t>
        </is>
      </c>
      <c r="J9" s="5" t="inlineStr">
        <is>
          <t>Off-Market Leads</t>
        </is>
      </c>
    </row>
    <row r="10" ht="28" customHeight="1">
      <c r="B10" s="6">
        <f>COUNTA('For Sale'!B:B)-1</f>
        <v/>
      </c>
      <c r="C10" s="7">
        <f>IFERROR(AVERAGE('For Sale'!I:I),0)</f>
        <v/>
      </c>
      <c r="D10" s="8">
        <f>IFERROR(AVERAGE('For Sale'!V:V)/100,0)</f>
        <v/>
      </c>
      <c r="E10" s="9">
        <f>IFERROR(AVERAGE('For Sale'!AD:AD),0)</f>
        <v/>
      </c>
      <c r="G10" s="6">
        <f>IFERROR(COUNTIF('For Sale'!AK:AK,"Positive"),0)</f>
        <v/>
      </c>
      <c r="H10" s="6">
        <f>COUNTA('Sold Comparables'!B:B)-1</f>
        <v/>
      </c>
      <c r="I10" s="7">
        <f>IFERROR(AVERAGE('Sold Comparables'!I:I),0)</f>
        <v/>
      </c>
      <c r="J10" s="6">
        <f>IFERROR(COUNTA('Off-Market Leads'!B:B)-1,0)</f>
        <v/>
      </c>
    </row>
    <row r="11" ht="4" customHeight="1"/>
    <row r="12" ht="16" customHeight="1">
      <c r="B12" s="10" t="inlineStr">
        <is>
          <t>⚠️  2026 Federal Budget: Negative gearing losses on ESTABLISHED properties are quarantined (cannot offset wage income). NEW BUILDS remain deductible.</t>
        </is>
      </c>
    </row>
    <row r="14" ht="16" customHeight="1">
      <c r="B14" s="2" t="inlineStr">
        <is>
          <t>📊  How to refresh data: Data tab → Refresh All  (or enable automatic refresh on file open via Data → Connections → Properties)</t>
        </is>
      </c>
    </row>
  </sheetData>
  <mergeCells count="5">
    <mergeCell ref="B12:L12"/>
    <mergeCell ref="B7:L7"/>
    <mergeCell ref="B3:L3"/>
    <mergeCell ref="B2:L2"/>
    <mergeCell ref="B14:L14"/>
  </mergeCells>
  <hyperlinks>
    <hyperlink ref="B5" location="'For Sale'!A1"/>
    <hyperlink ref="D5" location="'Sold Comparables'!A1"/>
    <hyperlink ref="F5" location="'Market Overview'!A1"/>
    <hyperlink ref="H5" location="'Off-Market Leads'!A1"/>
    <hyperlink ref="J5" location="'Instruction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2:AM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13" customWidth="1" min="9" max="9"/>
    <col width="15" customWidth="1" min="10" max="10"/>
    <col width="14" customWidth="1" min="11" max="11"/>
    <col width="14" customWidth="1" min="12" max="12"/>
    <col width="12" customWidth="1" min="13" max="13"/>
    <col width="22" customWidth="1" min="14" max="14"/>
    <col width="10" customWidth="1" min="15" max="15"/>
    <col width="12" customWidth="1" min="16" max="16"/>
    <col width="10" customWidth="1" min="17" max="17"/>
    <col width="30" customWidth="1" min="18" max="18"/>
    <col width="35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6" customWidth="1" min="25" max="25"/>
    <col width="8" customWidth="1" min="26" max="26"/>
    <col width="13" customWidth="1" min="27" max="27"/>
    <col width="16" customWidth="1" min="28" max="28"/>
    <col width="16" customWidth="1" min="29" max="29"/>
    <col width="18" customWidth="1" min="30" max="30"/>
    <col width="14" customWidth="1" min="31" max="31"/>
    <col width="14" customWidth="1" min="32" max="32"/>
    <col width="10" customWidth="1" min="33" max="33"/>
    <col width="15" customWidth="1" min="34" max="34"/>
    <col width="12" customWidth="1" min="35" max="35"/>
    <col width="12" customWidth="1" min="36" max="36"/>
    <col width="12" customWidth="1" min="37" max="37"/>
    <col width="12" customWidth="1" min="38" max="38"/>
    <col width="40" customWidth="1" min="39" max="39"/>
  </cols>
  <sheetData>
    <row r="1" ht="8" customHeight="1"/>
    <row r="2" ht="35" customHeight="1">
      <c r="B2" s="1" t="inlineStr">
        <is>
          <t>🏠  For Sale Properties — Acreage / Rural Listings</t>
        </is>
      </c>
    </row>
    <row r="3" ht="18" customHeight="1">
      <c r="B3" s="2" t="inlineStr">
        <is>
          <t>Source: realestate.com.au via Apify scraper  |  GitHub: https://raw.githubusercontent.com/sinkosinkoinvestments/Property-Investment-Dashboard/main/data/buy_properties_v5.csv  |  Refresh: Data → Refresh All</t>
        </is>
      </c>
    </row>
    <row r="4" ht="32" customHeight="1">
      <c r="B4" s="11" t="inlineStr">
        <is>
          <t>Date Pulled</t>
        </is>
      </c>
      <c r="C4" s="11" t="inlineStr">
        <is>
          <t>Address</t>
        </is>
      </c>
      <c r="D4" s="11" t="inlineStr">
        <is>
          <t>Suburb</t>
        </is>
      </c>
      <c r="E4" s="11" t="inlineStr">
        <is>
          <t>Property Type</t>
        </is>
      </c>
      <c r="F4" s="11" t="inlineStr">
        <is>
          <t>Beds</t>
        </is>
      </c>
      <c r="G4" s="11" t="inlineStr">
        <is>
          <t>Baths</t>
        </is>
      </c>
      <c r="H4" s="11" t="inlineStr">
        <is>
          <t>Cars</t>
        </is>
      </c>
      <c r="I4" s="11" t="inlineStr">
        <is>
          <t>Land Size (m²)</t>
        </is>
      </c>
      <c r="J4" s="11" t="inlineStr">
        <is>
          <t>Asking Price ($)</t>
        </is>
      </c>
      <c r="K4" s="11" t="inlineStr">
        <is>
          <t>Price/Acre ($)</t>
        </is>
      </c>
      <c r="L4" s="11" t="inlineStr">
        <is>
          <t>Days on Market</t>
        </is>
      </c>
      <c r="M4" s="11" t="inlineStr">
        <is>
          <t>Sale Method</t>
        </is>
      </c>
      <c r="N4" s="11" t="inlineStr">
        <is>
          <t>Agency</t>
        </is>
      </c>
      <c r="O4" s="11" t="inlineStr">
        <is>
          <t>Dual Living</t>
        </is>
      </c>
      <c r="P4" s="11" t="inlineStr">
        <is>
          <t>Subdiv. Potential</t>
        </is>
      </c>
      <c r="Q4" s="11" t="inlineStr">
        <is>
          <t>Usable Land</t>
        </is>
      </c>
      <c r="R4" s="11" t="inlineStr">
        <is>
          <t>Build Class</t>
        </is>
      </c>
      <c r="S4" s="11" t="inlineStr">
        <is>
          <t>Budget Rule</t>
        </is>
      </c>
      <c r="T4" s="11" t="inlineStr">
        <is>
          <t>Rent Est $/wk</t>
        </is>
      </c>
      <c r="U4" s="11" t="inlineStr">
        <is>
          <t>NOI ($)</t>
        </is>
      </c>
      <c r="V4" s="11" t="inlineStr">
        <is>
          <t>Cap Rate (%)</t>
        </is>
      </c>
      <c r="W4" s="11" t="inlineStr">
        <is>
          <t>Gross Yield (%)</t>
        </is>
      </c>
      <c r="X4" s="11" t="inlineStr">
        <is>
          <t>Net Yield (%)</t>
        </is>
      </c>
      <c r="Y4" s="11" t="inlineStr">
        <is>
          <t>Monthly Repay ($)</t>
        </is>
      </c>
      <c r="Z4" s="11" t="inlineStr">
        <is>
          <t>DSCR</t>
        </is>
      </c>
      <c r="AA4" s="11" t="inlineStr">
        <is>
          <t>Break-Even (%)</t>
        </is>
      </c>
      <c r="AB4" s="11" t="inlineStr">
        <is>
          <t>Net Annual CF ($)</t>
        </is>
      </c>
      <c r="AC4" s="11" t="inlineStr">
        <is>
          <t>Net Weekly CF ($)</t>
        </is>
      </c>
      <c r="AD4" s="11" t="inlineStr">
        <is>
          <t>Quarantined Loss ($)</t>
        </is>
      </c>
      <c r="AE4" s="11" t="inlineStr">
        <is>
          <t>Tax Benefit ($)</t>
        </is>
      </c>
      <c r="AF4" s="11" t="inlineStr">
        <is>
          <t>Post-Tax CF ($)</t>
        </is>
      </c>
      <c r="AG4" s="11" t="inlineStr">
        <is>
          <t>Capex ($)</t>
        </is>
      </c>
      <c r="AH4" s="11" t="inlineStr">
        <is>
          <t>Cash Invested ($)</t>
        </is>
      </c>
      <c r="AI4" s="11" t="inlineStr">
        <is>
          <t>CoC Return (%)</t>
        </is>
      </c>
      <c r="AJ4" s="11" t="inlineStr">
        <is>
          <t>IRR 10yr (%)</t>
        </is>
      </c>
      <c r="AK4" s="11" t="inlineStr">
        <is>
          <t>ROE Y1 (%)</t>
        </is>
      </c>
      <c r="AL4" s="11" t="inlineStr">
        <is>
          <t>CF Status</t>
        </is>
      </c>
      <c r="AM4" s="11" t="inlineStr">
        <is>
          <t>URL</t>
        </is>
      </c>
    </row>
    <row r="5" ht="16" customHeight="1">
      <c r="B5" s="12">
        <f>TODAY()</f>
        <v/>
      </c>
      <c r="C5" s="12" t="inlineStr">
        <is>
          <t>123 Sample Rd</t>
        </is>
      </c>
      <c r="D5" s="12" t="inlineStr">
        <is>
          <t>Cooroy</t>
        </is>
      </c>
      <c r="E5" s="12" t="inlineStr">
        <is>
          <t>House</t>
        </is>
      </c>
      <c r="F5" s="12" t="n">
        <v>4</v>
      </c>
      <c r="G5" s="12" t="n">
        <v>2</v>
      </c>
      <c r="H5" s="12" t="n">
        <v>2</v>
      </c>
      <c r="I5" s="12" t="n">
        <v>10000</v>
      </c>
      <c r="J5" s="12" t="n">
        <v>1200000</v>
      </c>
      <c r="K5" s="12" t="n">
        <v>490000</v>
      </c>
      <c r="L5" s="12" t="n">
        <v>45</v>
      </c>
      <c r="M5" s="12" t="inlineStr">
        <is>
          <t>For Sale</t>
        </is>
      </c>
      <c r="N5" s="12" t="inlineStr">
        <is>
          <t>Ray White</t>
        </is>
      </c>
      <c r="O5" s="12" t="inlineStr">
        <is>
          <t>FALSE</t>
        </is>
      </c>
      <c r="P5" s="12" t="inlineStr">
        <is>
          <t>TRUE</t>
        </is>
      </c>
      <c r="Q5" s="12" t="inlineStr">
        <is>
          <t>TRUE</t>
        </is>
      </c>
      <c r="R5" s="12" t="inlineStr">
        <is>
          <t>Established / Assume Quarantined</t>
        </is>
      </c>
      <c r="S5" s="12" t="inlineStr">
        <is>
          <t>2026 Budget: established losses quarantined, no wage offset</t>
        </is>
      </c>
      <c r="T5" s="12" t="n">
        <v>900</v>
      </c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>
        <is>
          <t>0</t>
        </is>
      </c>
      <c r="AH5" s="12" t="inlineStr"/>
      <c r="AI5" s="12" t="inlineStr"/>
      <c r="AJ5" s="12" t="inlineStr"/>
      <c r="AK5" s="12" t="inlineStr"/>
      <c r="AL5" s="12" t="inlineStr">
        <is>
          <t>Negative</t>
        </is>
      </c>
      <c r="AM5" s="12" t="inlineStr">
        <is>
          <t>https://www.realestate.com.au</t>
        </is>
      </c>
    </row>
  </sheetData>
  <mergeCells count="2">
    <mergeCell ref="B3:AK3"/>
    <mergeCell ref="B2:AK2"/>
  </mergeCells>
  <conditionalFormatting sqref="B5:AK500">
    <cfRule type="expression" priority="1" dxfId="0">
      <formula>=$AK5="Positive"</formula>
    </cfRule>
    <cfRule type="expression" priority="2" dxfId="1">
      <formula>=$AK5="Negative"</formula>
    </cfRule>
  </conditionalFormatting>
  <conditionalFormatting sqref="J5:J500">
    <cfRule type="dataBar" priority="3">
      <dataBar>
        <cfvo type="min"/>
        <cfvo type="max"/>
        <color rgb="002E75B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13" customWidth="1" min="9" max="9"/>
    <col width="16" customWidth="1" min="10" max="10"/>
    <col width="14" customWidth="1" min="11" max="11"/>
    <col width="12" customWidth="1" min="12" max="12"/>
    <col width="25" customWidth="1" min="13" max="13"/>
    <col width="40" customWidth="1" min="14" max="14"/>
  </cols>
  <sheetData>
    <row r="1" ht="8" customHeight="1"/>
    <row r="2" ht="35" customHeight="1">
      <c r="B2" s="1" t="inlineStr">
        <is>
          <t>🏷️  Sold Comparables — Recent Sales Data</t>
        </is>
      </c>
    </row>
    <row r="3" ht="18" customHeight="1">
      <c r="B3" s="2" t="inlineStr">
        <is>
          <t>Source: realestate.com.au via Apify scraper  |  GitHub: https://raw.githubusercontent.com/sinkosinkoinvestments/Property-Investment-Dashboard/main/data/sold_properties_v5.csv  |  Refresh: Data → Refresh All</t>
        </is>
      </c>
    </row>
    <row r="4" ht="32" customHeight="1">
      <c r="B4" s="11" t="inlineStr">
        <is>
          <t>Date Pulled</t>
        </is>
      </c>
      <c r="C4" s="11" t="inlineStr">
        <is>
          <t>Address</t>
        </is>
      </c>
      <c r="D4" s="11" t="inlineStr">
        <is>
          <t>Suburb</t>
        </is>
      </c>
      <c r="E4" s="11" t="inlineStr">
        <is>
          <t>Property Type</t>
        </is>
      </c>
      <c r="F4" s="11" t="inlineStr">
        <is>
          <t>Beds</t>
        </is>
      </c>
      <c r="G4" s="11" t="inlineStr">
        <is>
          <t>Baths</t>
        </is>
      </c>
      <c r="H4" s="11" t="inlineStr">
        <is>
          <t>Cars</t>
        </is>
      </c>
      <c r="I4" s="11" t="inlineStr">
        <is>
          <t>Land Size (m²)</t>
        </is>
      </c>
      <c r="J4" s="11" t="inlineStr">
        <is>
          <t>Sale Price ($)</t>
        </is>
      </c>
      <c r="K4" s="11" t="inlineStr">
        <is>
          <t>Price/Acre ($)</t>
        </is>
      </c>
      <c r="L4" s="11" t="inlineStr">
        <is>
          <t>Sale Date</t>
        </is>
      </c>
      <c r="M4" s="11" t="inlineStr">
        <is>
          <t>Agency</t>
        </is>
      </c>
      <c r="N4" s="11" t="inlineStr">
        <is>
          <t>URL</t>
        </is>
      </c>
    </row>
  </sheetData>
  <mergeCells count="2">
    <mergeCell ref="B3:N3"/>
    <mergeCell ref="B2:N2"/>
  </mergeCells>
  <conditionalFormatting sqref="J5:J500">
    <cfRule type="colorScale" priority="1">
      <colorScale>
        <cfvo type="min"/>
        <cfvo type="percentile" val="50"/>
        <cfvo type="max"/>
        <color rgb="00FCE4D6"/>
        <color rgb="00FFEB84"/>
        <color rgb="00E2EFD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B2:G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6" customWidth="1" min="4" max="4"/>
    <col width="18" customWidth="1" min="5" max="5"/>
  </cols>
  <sheetData>
    <row r="1" ht="8" customHeight="1"/>
    <row r="2" ht="35" customHeight="1">
      <c r="B2" s="1" t="inlineStr">
        <is>
          <t>📊  Market Overview — Median Rents by Suburb</t>
        </is>
      </c>
    </row>
    <row r="3" ht="18" customHeight="1">
      <c r="B3" s="2" t="inlineStr">
        <is>
          <t>Source: realestate.com.au via Apify scraper  |  GitHub: https://raw.githubusercontent.com/sinkosinkoinvestments/Property-Investment-Dashboard/main/data/market_data_v5.csv  |  Refresh: Data → Refresh All</t>
        </is>
      </c>
    </row>
    <row r="4" ht="32" customHeight="1">
      <c r="B4" s="11" t="inlineStr">
        <is>
          <t>Date Pulled</t>
        </is>
      </c>
      <c r="C4" s="11" t="inlineStr">
        <is>
          <t>Suburb</t>
        </is>
      </c>
      <c r="D4" s="11" t="inlineStr">
        <is>
          <t>Median Acreage Rent ($/wk)</t>
        </is>
      </c>
      <c r="E4" s="11" t="inlineStr">
        <is>
          <t>Interest Rate (%)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2:J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6" customWidth="1" min="4" max="4"/>
    <col width="15" customWidth="1" min="5" max="5"/>
    <col width="8" customWidth="1" min="6" max="6"/>
    <col width="14" customWidth="1" min="7" max="7"/>
    <col width="20" customWidth="1" min="8" max="8"/>
    <col width="35" customWidth="1" min="9" max="9"/>
    <col width="40" customWidth="1" min="10" max="10"/>
  </cols>
  <sheetData>
    <row r="1" ht="8" customHeight="1"/>
    <row r="2" ht="35" customHeight="1">
      <c r="B2" s="1" t="inlineStr">
        <is>
          <t>📬  Off-Market Leads — Parsed from Emails</t>
        </is>
      </c>
    </row>
    <row r="3" ht="18" customHeight="1">
      <c r="B3" s="2" t="inlineStr">
        <is>
          <t>Source: Gmail inbox parser  |  GitHub: https://raw.githubusercontent.com/sinkosinkoinvestments/Property-Investment-Dashboard/main/data/offmarket_leads_v3.csv  |  Refresh: Data → Refresh All</t>
        </is>
      </c>
    </row>
    <row r="4" ht="32" customHeight="1">
      <c r="B4" s="11" t="inlineStr">
        <is>
          <t>Date Parsed</t>
        </is>
      </c>
      <c r="C4" s="11" t="inlineStr">
        <is>
          <t>Address</t>
        </is>
      </c>
      <c r="D4" s="11" t="inlineStr">
        <is>
          <t>Suburb</t>
        </is>
      </c>
      <c r="E4" s="11" t="inlineStr">
        <is>
          <t>Price</t>
        </is>
      </c>
      <c r="F4" s="11" t="inlineStr">
        <is>
          <t>Beds</t>
        </is>
      </c>
      <c r="G4" s="11" t="inlineStr">
        <is>
          <t>Land Size</t>
        </is>
      </c>
      <c r="H4" s="11" t="inlineStr">
        <is>
          <t>Agent</t>
        </is>
      </c>
      <c r="I4" s="11" t="inlineStr">
        <is>
          <t>Email Subject</t>
        </is>
      </c>
      <c r="J4" s="11" t="inlineStr">
        <is>
          <t>Source URL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B2:J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 ht="8" customHeight="1"/>
    <row r="2" ht="40" customHeight="1">
      <c r="B2" s="1" t="inlineStr">
        <is>
          <t>📋  Setup Instructions — Connect Excel to GitHub Live Data</t>
        </is>
      </c>
    </row>
    <row r="4" ht="18" customHeight="1">
      <c r="B4" s="4" t="inlineStr">
        <is>
          <t>STEP 1 — Get Raw CSV URLs from GitHub</t>
        </is>
      </c>
    </row>
    <row r="5" ht="16" customHeight="1">
      <c r="B5" s="13" t="inlineStr">
        <is>
          <t>1. Go to: https://github.com/sinkosinkoinvestments/Property-Investment-Dashboard</t>
        </is>
      </c>
    </row>
    <row r="6" ht="16" customHeight="1">
      <c r="B6" s="13" t="inlineStr">
        <is>
          <t>2. Click into the data/ folder</t>
        </is>
      </c>
    </row>
    <row r="7" ht="16" customHeight="1">
      <c r="B7" s="13" t="inlineStr">
        <is>
          <t>3. Click each CSV file (buy_properties_v5.csv, sold_properties_v5.csv, market_data_v5.csv, offmarket_leads_v3.csv)</t>
        </is>
      </c>
    </row>
    <row r="8" ht="16" customHeight="1">
      <c r="B8" s="13" t="inlineStr">
        <is>
          <t>4. Click the "Raw" button in the top right of each file</t>
        </is>
      </c>
    </row>
    <row r="9" ht="16" customHeight="1">
      <c r="B9" s="13" t="inlineStr">
        <is>
          <t>5. Copy the URL — it will start with: https://raw.githubusercontent.com/...</t>
        </is>
      </c>
    </row>
    <row r="10" ht="16" customHeight="1"/>
    <row r="11" ht="18" customHeight="1">
      <c r="B11" s="4" t="inlineStr">
        <is>
          <t>STEP 2 — Connect Each CSV via Power Query</t>
        </is>
      </c>
    </row>
    <row r="12" ht="16" customHeight="1">
      <c r="B12" s="13" t="inlineStr">
        <is>
          <t>1. Click the Data tab in the Excel ribbon</t>
        </is>
      </c>
    </row>
    <row r="13" ht="16" customHeight="1">
      <c r="B13" s="13" t="inlineStr">
        <is>
          <t>2. Click Get Data → From Other Sources → From Web</t>
        </is>
      </c>
    </row>
    <row r="14" ht="16" customHeight="1">
      <c r="B14" s="13" t="inlineStr">
        <is>
          <t>3. Paste the raw GitHub URL → click OK</t>
        </is>
      </c>
    </row>
    <row r="15" ht="16" customHeight="1">
      <c r="B15" s="13" t="inlineStr">
        <is>
          <t>4. In the preview window click Load To... → Existing Worksheet → select target sheet cell A1</t>
        </is>
      </c>
    </row>
    <row r="16" ht="16" customHeight="1">
      <c r="B16" s="13" t="inlineStr">
        <is>
          <t>5. Repeat for all 4 CSV files, loading into the correct sheet</t>
        </is>
      </c>
    </row>
    <row r="17" ht="16" customHeight="1"/>
    <row r="18" ht="18" customHeight="1">
      <c r="B18" s="4" t="inlineStr">
        <is>
          <t>STEP 3 — CSV → Sheet Mapping</t>
        </is>
      </c>
    </row>
    <row r="19" ht="16" customHeight="1">
      <c r="B19" s="13" t="inlineStr">
        <is>
          <t>buy_properties_v5.csv       →  For Sale sheet</t>
        </is>
      </c>
    </row>
    <row r="20" ht="16" customHeight="1">
      <c r="B20" s="13" t="inlineStr">
        <is>
          <t>sold_properties_v5.csv      →  Sold Comparables sheet</t>
        </is>
      </c>
    </row>
    <row r="21" ht="16" customHeight="1">
      <c r="B21" s="13" t="inlineStr">
        <is>
          <t>market_data_v5.csv          →  Market Overview sheet</t>
        </is>
      </c>
    </row>
    <row r="22" ht="16" customHeight="1">
      <c r="B22" s="13" t="inlineStr">
        <is>
          <t>offmarket_leads_v3.csv      →  Off-Market Leads sheet</t>
        </is>
      </c>
    </row>
    <row r="23" ht="16" customHeight="1"/>
    <row r="24" ht="18" customHeight="1">
      <c r="B24" s="4" t="inlineStr">
        <is>
          <t>STEP 4 — Enable Auto-Refresh on File Open</t>
        </is>
      </c>
    </row>
    <row r="25" ht="16" customHeight="1">
      <c r="B25" s="13" t="inlineStr">
        <is>
          <t>1. Go to Data tab → Queries &amp; Connections (right panel)</t>
        </is>
      </c>
    </row>
    <row r="26" ht="16" customHeight="1">
      <c r="B26" s="13" t="inlineStr">
        <is>
          <t>2. Right-click each query → Properties</t>
        </is>
      </c>
    </row>
    <row r="27" ht="16" customHeight="1">
      <c r="B27" s="13" t="inlineStr">
        <is>
          <t>3. Tick "Refresh data when opening the file"</t>
        </is>
      </c>
    </row>
    <row r="28" ht="16" customHeight="1">
      <c r="B28" s="13" t="inlineStr">
        <is>
          <t>4. Optionally tick "Refresh every 60 minutes"</t>
        </is>
      </c>
    </row>
    <row r="29" ht="16" customHeight="1"/>
    <row r="30" ht="18" customHeight="1">
      <c r="B30" s="4" t="inlineStr">
        <is>
          <t>STEP 5 — Manual Refresh Anytime</t>
        </is>
      </c>
    </row>
    <row r="31" ht="16" customHeight="1">
      <c r="B31" s="13" t="inlineStr">
        <is>
          <t>Click Data tab → Refresh All    (updates all 4 tables at once)</t>
        </is>
      </c>
    </row>
    <row r="32" ht="16" customHeight="1"/>
    <row r="33" ht="18" customHeight="1">
      <c r="B33" s="4" t="inlineStr">
        <is>
          <t>TROUBLESHOOTING</t>
        </is>
      </c>
    </row>
    <row r="34" ht="16" customHeight="1">
      <c r="B34" s="13" t="inlineStr">
        <is>
          <t>"Couldn't connect" error  →  Make sure your GitHub repo is set to Public</t>
        </is>
      </c>
    </row>
    <row r="35" ht="16" customHeight="1">
      <c r="B35" s="13" t="inlineStr">
        <is>
          <t>"Column not found" error  →  Click Transform Data in the query and check column names</t>
        </is>
      </c>
    </row>
    <row r="36" ht="16" customHeight="1">
      <c r="B36" s="13" t="inlineStr">
        <is>
          <t>Empty data             →  Check the GitHub Actions ran successfully (Actions tab in GitHub)</t>
        </is>
      </c>
    </row>
    <row r="37" ht="16" customHeight="1"/>
    <row r="38" ht="18" customHeight="1">
      <c r="B38" s="4" t="inlineStr">
        <is>
          <t>COLOR CODING IN FOR SALE SHEET</t>
        </is>
      </c>
    </row>
    <row r="39" ht="16" customHeight="1">
      <c r="B39" s="13" t="inlineStr">
        <is>
          <t>Green row  =  Positive cashflow property</t>
        </is>
      </c>
    </row>
    <row r="40" ht="16" customHeight="1">
      <c r="B40" s="13" t="inlineStr">
        <is>
          <t>Red row    =  Negative cashflow property (losses quarantined if Established build)</t>
        </is>
      </c>
    </row>
    <row r="41" ht="16" customHeight="1">
      <c r="B41" s="13" t="inlineStr">
        <is>
          <t>Blue text  =  Hardcoded input assumptions (you can change these)</t>
        </is>
      </c>
    </row>
    <row r="42" ht="16" customHeight="1">
      <c r="B42" s="13" t="inlineStr">
        <is>
          <t>Green text =  Formulas linking from other sheets</t>
        </is>
      </c>
    </row>
    <row r="43" ht="16" customHeight="1">
      <c r="B43" s="13" t="inlineStr">
        <is>
          <t>Yellow bg  =  Key assumptions that need your attention</t>
        </is>
      </c>
    </row>
  </sheetData>
  <mergeCells count="35">
    <mergeCell ref="B11:J11"/>
    <mergeCell ref="B42:J42"/>
    <mergeCell ref="B14:J14"/>
    <mergeCell ref="B8:J8"/>
    <mergeCell ref="B13:J13"/>
    <mergeCell ref="B38:J38"/>
    <mergeCell ref="B19:J19"/>
    <mergeCell ref="B34:J34"/>
    <mergeCell ref="B28:J28"/>
    <mergeCell ref="B40:J40"/>
    <mergeCell ref="B9:J9"/>
    <mergeCell ref="B6:J6"/>
    <mergeCell ref="B24:J24"/>
    <mergeCell ref="B30:J30"/>
    <mergeCell ref="B15:J15"/>
    <mergeCell ref="B33:J33"/>
    <mergeCell ref="B5:J5"/>
    <mergeCell ref="B20:J20"/>
    <mergeCell ref="B36:J36"/>
    <mergeCell ref="B26:J26"/>
    <mergeCell ref="B41:J41"/>
    <mergeCell ref="B35:J35"/>
    <mergeCell ref="B4:J4"/>
    <mergeCell ref="B16:J16"/>
    <mergeCell ref="B7:J7"/>
    <mergeCell ref="B25:J25"/>
    <mergeCell ref="B22:J22"/>
    <mergeCell ref="B31:J31"/>
    <mergeCell ref="B18:J18"/>
    <mergeCell ref="B27:J27"/>
    <mergeCell ref="B43:J43"/>
    <mergeCell ref="B12:J12"/>
    <mergeCell ref="B39:J39"/>
    <mergeCell ref="B21:J21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2026-06-27T11:38:43Z</dcterms:created>
  <dcterms:modified xmlns:dcterms="http://purl.org/dc/terms/" xmlns:xsi="http://www.w3.org/2001/XMLSchema-instance" xsi:type="dcterms:W3CDTF">2026-06-27T11:39:48Z</dcterms:modified>
</cp:coreProperties>
</file>